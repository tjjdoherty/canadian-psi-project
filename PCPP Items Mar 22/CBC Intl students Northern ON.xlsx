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ph" sheetId="1" r:id="rId4"/>
    <sheet state="visible" name="Enrolment Data" sheetId="2" r:id="rId5"/>
    <sheet state="visible" name="Northern" sheetId="3" r:id="rId6"/>
    <sheet state="visible" name="Canadore " sheetId="4" r:id="rId7"/>
    <sheet state="visible" name="Cambrian" sheetId="5" r:id="rId8"/>
  </sheets>
  <definedNames/>
  <calcPr/>
</workbook>
</file>

<file path=xl/sharedStrings.xml><?xml version="1.0" encoding="utf-8"?>
<sst xmlns="http://schemas.openxmlformats.org/spreadsheetml/2006/main" count="56" uniqueCount="42">
  <si>
    <t>Year</t>
  </si>
  <si>
    <t>% of revenue from Intl students Northern</t>
  </si>
  <si>
    <t>Revenue from Intl programs</t>
  </si>
  <si>
    <t>Total revenue</t>
  </si>
  <si>
    <t>% of revenue from Intl students Canadore</t>
  </si>
  <si>
    <t>% of revenue from Intl students Cambrian</t>
  </si>
  <si>
    <t>&lt;iframe title="Percentage of total revenues from international student fees" aria-label="Interactive line chart" id="datawrapper-chart-0WF36" src="https://datawrapper.dwcdn.net/0WF36/1/" scrolling="no" frameborder="0" style="width: 0; min-width: 100% !important; border: none;" height="500" data-external="1"&gt;&lt;/iframe&gt;&lt;script type="text/javascript"&gt;!function(){"use strict";window.addEventListener("message",(function(a){if(void 0!==a.data["datawrapper-height"]){var e=document.querySelectorAll("iframe");for(var t in a.data["datawrapper-height"])for(var r=0;r&lt;e.length;r++)if(e[r].contentWindow===a.source){var i=a.data["datawrapper-height"][t]+"px";e[r].style.height=i}}}))}();
&lt;/script&gt;</t>
  </si>
  <si>
    <t>2012-2013</t>
  </si>
  <si>
    <t>2013-2014</t>
  </si>
  <si>
    <t>2014-2015</t>
  </si>
  <si>
    <t>2015-2016</t>
  </si>
  <si>
    <t>2016-2017</t>
  </si>
  <si>
    <t>2017-2018</t>
  </si>
  <si>
    <t>2018-2019</t>
  </si>
  <si>
    <t>2019-2020</t>
  </si>
  <si>
    <t>2020-2021</t>
  </si>
  <si>
    <t>2021-2022</t>
  </si>
  <si>
    <t>% of international students in total student body</t>
  </si>
  <si>
    <t>% of international students from India</t>
  </si>
  <si>
    <t>2022-2023 data?</t>
  </si>
  <si>
    <t>Student permit/ Student visa: a permit obtained by a student to enter Canada for the sole purpose of attending an educational postsecondary institution</t>
  </si>
  <si>
    <t>Cambrian College</t>
  </si>
  <si>
    <t>Canadore College</t>
  </si>
  <si>
    <t xml:space="preserve"> </t>
  </si>
  <si>
    <t>Northern College</t>
  </si>
  <si>
    <t>Sault College</t>
  </si>
  <si>
    <t>% of revenue from Intl students</t>
  </si>
  <si>
    <t>The college's Strategic Enrolment lan says one fiscal solution to college revenue problems is international markets - it's the only solution listed</t>
  </si>
  <si>
    <t xml:space="preserve">Northern hired three in country reps (Philippines, Mexico and in "Africa" - unnamed country) to diversify its intl student body </t>
  </si>
  <si>
    <t>Country</t>
  </si>
  <si>
    <t>Number of students</t>
  </si>
  <si>
    <t>Canada</t>
  </si>
  <si>
    <t>India</t>
  </si>
  <si>
    <t>Philippines</t>
  </si>
  <si>
    <t>Unknown</t>
  </si>
  <si>
    <t>Total</t>
  </si>
  <si>
    <t>*2024</t>
  </si>
  <si>
    <t xml:space="preserve">College says it'll cap its int'l enrolment at Stanford College at 6000 (b4 gov policy of 7500) Targets 1,500 people at its parry sound/north bay campuses - looking to add 1000 students there directly </t>
  </si>
  <si>
    <t>Canadore is aggressively pursuing opportunities to lessen its reliance on international student enrolment. It is impossible to commit to the success of these efforts and the related impact on program and services for 2023-24.</t>
  </si>
  <si>
    <t xml:space="preserve">Based on early data, surplus of 3.1 million this year </t>
  </si>
  <si>
    <t xml:space="preserve">The College faces an annual maintenance-funding shortfall of approximately $1.6 million, which has accumulated to total deferred maintenance in excess of $24.5 million.  </t>
  </si>
  <si>
    <t>Enhance the international diversification strategy •  Achieved diversification of 94% enrolment from non-Indian markets, with highest numbers being from  Nepal, Nigeria, Philippines, Vietnam, and Columbia • Researching potential expansion of recruitment model for Africa and new model to support India • Entered new markets and signed new agency agreements in Thailand, Bhutan, Turkey and South Korea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</si>
</sst>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b/>
      <sz val="8.0"/>
      <color theme="1"/>
      <name val="Tahoma"/>
    </font>
    <font>
      <color theme="1"/>
      <name val="Tahoma"/>
    </font>
    <font>
      <sz val="8.0"/>
      <color theme="1"/>
      <name val="Tahoma"/>
    </font>
  </fonts>
  <fills count="5">
    <fill>
      <patternFill patternType="none"/>
    </fill>
    <fill>
      <patternFill patternType="lightGray"/>
    </fill>
    <fill>
      <patternFill patternType="solid">
        <fgColor rgb="FFBFD2E2"/>
        <bgColor rgb="FFBFD2E2"/>
      </patternFill>
    </fill>
    <fill>
      <patternFill patternType="solid">
        <fgColor rgb="FFEA9999"/>
        <bgColor rgb="FFEA9999"/>
      </patternFill>
    </fill>
    <fill>
      <patternFill patternType="solid">
        <fgColor rgb="FFF2F1F1"/>
        <bgColor rgb="FFF2F1F1"/>
      </patternFill>
    </fill>
  </fills>
  <borders count="6">
    <border/>
    <border>
      <left style="medium">
        <color rgb="FFCFCFCF"/>
      </left>
      <right style="medium">
        <color rgb="FFCFCFCF"/>
      </right>
      <bottom style="medium">
        <color rgb="FFCFCFCF"/>
      </bottom>
    </border>
    <border>
      <right style="medium">
        <color rgb="FF93B1CD"/>
      </right>
      <bottom style="medium">
        <color rgb="FF93B1CD"/>
      </bottom>
    </border>
    <border>
      <bottom style="medium">
        <color rgb="FF93B1CD"/>
      </bottom>
    </border>
    <border>
      <right style="medium">
        <color rgb="FFA2C4E0"/>
      </right>
      <bottom style="medium">
        <color rgb="FFA2C4E0"/>
      </bottom>
    </border>
    <border>
      <bottom style="medium">
        <color rgb="FFA2C4E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2" numFmtId="0" xfId="0" applyAlignment="1" applyFont="1">
      <alignment shrinkToFit="0" vertical="bottom" wrapText="0"/>
    </xf>
    <xf borderId="0" fillId="0" fontId="1" numFmtId="0" xfId="0" applyFont="1"/>
    <xf borderId="0" fillId="0" fontId="1" numFmtId="3" xfId="0" applyAlignment="1" applyFont="1" applyNumberFormat="1">
      <alignment readingOrder="0"/>
    </xf>
    <xf borderId="0" fillId="0" fontId="2" numFmtId="0" xfId="0" applyAlignment="1" applyFont="1">
      <alignment horizontal="right" vertical="bottom"/>
    </xf>
    <xf borderId="1" fillId="0" fontId="3" numFmtId="0" xfId="0" applyAlignment="1" applyBorder="1" applyFont="1">
      <alignment vertical="center"/>
    </xf>
    <xf borderId="2" fillId="2" fontId="3" numFmtId="0" xfId="0" applyAlignment="1" applyBorder="1" applyFill="1" applyFont="1">
      <alignment horizontal="center"/>
    </xf>
    <xf borderId="3" fillId="2" fontId="3" numFmtId="0" xfId="0" applyAlignment="1" applyBorder="1" applyFont="1">
      <alignment horizontal="center"/>
    </xf>
    <xf borderId="0" fillId="2" fontId="3" numFmtId="0" xfId="0" applyAlignment="1" applyFont="1">
      <alignment horizontal="center" readingOrder="0"/>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4" numFmtId="0" xfId="0" applyAlignment="1" applyFont="1">
      <alignment vertical="bottom"/>
    </xf>
    <xf borderId="2" fillId="3" fontId="5" numFmtId="0" xfId="0" applyAlignment="1" applyBorder="1" applyFill="1" applyFont="1">
      <alignment vertical="top"/>
    </xf>
    <xf borderId="0" fillId="3" fontId="5" numFmtId="3" xfId="0" applyAlignment="1" applyFont="1" applyNumberFormat="1">
      <alignment horizontal="right" vertical="top"/>
    </xf>
    <xf borderId="0" fillId="3" fontId="4" numFmtId="0" xfId="0" applyAlignment="1" applyFont="1">
      <alignment vertical="bottom"/>
    </xf>
    <xf borderId="0" fillId="3" fontId="1" numFmtId="0" xfId="0" applyFont="1"/>
    <xf borderId="2" fillId="4" fontId="3" numFmtId="0" xfId="0" applyAlignment="1" applyBorder="1" applyFill="1" applyFont="1">
      <alignment vertical="top"/>
    </xf>
    <xf borderId="4" fillId="4" fontId="3" numFmtId="3" xfId="0" applyAlignment="1" applyBorder="1" applyFont="1" applyNumberFormat="1">
      <alignment horizontal="right" vertical="top"/>
    </xf>
    <xf borderId="5" fillId="4" fontId="3" numFmtId="3" xfId="0" applyAlignment="1" applyBorder="1" applyFont="1" applyNumberFormat="1">
      <alignment horizontal="right" vertical="top"/>
    </xf>
    <xf borderId="0" fillId="4" fontId="3" numFmtId="3" xfId="0" applyAlignment="1" applyFont="1" applyNumberFormat="1">
      <alignment horizontal="right" vertical="top"/>
    </xf>
    <xf borderId="0" fillId="3" fontId="5" numFmtId="3" xfId="0" applyAlignment="1" applyFont="1" applyNumberFormat="1">
      <alignment horizontal="right" readingOrder="0" vertical="top"/>
    </xf>
    <xf borderId="0" fillId="4" fontId="3" numFmtId="3" xfId="0" applyAlignment="1" applyFont="1" applyNumberFormat="1">
      <alignment horizontal="right" readingOrder="0" vertical="top"/>
    </xf>
    <xf borderId="0" fillId="3" fontId="4" numFmtId="0" xfId="0" applyAlignment="1" applyFont="1">
      <alignment readingOrder="0" vertical="bottom"/>
    </xf>
    <xf borderId="0" fillId="0" fontId="5" numFmtId="3" xfId="0" applyAlignment="1" applyFont="1" applyNumberForma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3" max="3" width="19.38"/>
    <col customWidth="1" min="4" max="4" width="24.25"/>
    <col customWidth="1" min="5" max="5" width="29.75"/>
  </cols>
  <sheetData>
    <row r="1">
      <c r="A1" s="1" t="s">
        <v>0</v>
      </c>
      <c r="B1" s="1" t="s">
        <v>1</v>
      </c>
      <c r="C1" s="1" t="s">
        <v>2</v>
      </c>
      <c r="D1" s="1" t="s">
        <v>3</v>
      </c>
      <c r="E1" s="1" t="s">
        <v>4</v>
      </c>
      <c r="H1" s="2" t="s">
        <v>5</v>
      </c>
      <c r="I1" s="3"/>
    </row>
    <row r="2">
      <c r="A2" s="1">
        <v>2017.0</v>
      </c>
      <c r="B2" s="4">
        <f t="shared" ref="B2:B8" si="1">C2/D2*100</f>
        <v>18.99357108</v>
      </c>
      <c r="C2" s="5">
        <v>8548390.0</v>
      </c>
      <c r="D2" s="5">
        <v>4.5006755E7</v>
      </c>
      <c r="E2" s="4">
        <f t="shared" ref="E2:E3" si="2">F2/G2*100</f>
        <v>28.0672586</v>
      </c>
      <c r="F2" s="5">
        <v>2.1190213E7</v>
      </c>
      <c r="G2" s="5">
        <v>7.5497979E7</v>
      </c>
      <c r="H2" s="4">
        <f t="shared" ref="H2:H3" si="3">I2/J2*100</f>
        <v>17.63230761</v>
      </c>
      <c r="I2" s="5">
        <v>1.4820818E7</v>
      </c>
      <c r="J2" s="5">
        <v>8.4054897E7</v>
      </c>
    </row>
    <row r="3">
      <c r="A3" s="1">
        <v>2018.0</v>
      </c>
      <c r="B3" s="4">
        <f t="shared" si="1"/>
        <v>28.41909314</v>
      </c>
      <c r="C3" s="5">
        <v>1.5331068E7</v>
      </c>
      <c r="D3" s="5">
        <v>5.3946366E7</v>
      </c>
      <c r="E3" s="4">
        <f t="shared" si="2"/>
        <v>42.56799876</v>
      </c>
      <c r="F3" s="5">
        <v>4.1309163E7</v>
      </c>
      <c r="G3" s="5">
        <v>9.7042765E7</v>
      </c>
      <c r="H3" s="4">
        <f t="shared" si="3"/>
        <v>19.39369184</v>
      </c>
      <c r="I3" s="5">
        <v>1.7541187E7</v>
      </c>
      <c r="J3" s="5">
        <v>9.04479E7</v>
      </c>
    </row>
    <row r="4">
      <c r="A4" s="1">
        <v>2019.0</v>
      </c>
      <c r="B4" s="4">
        <f t="shared" si="1"/>
        <v>28.69023931</v>
      </c>
      <c r="C4" s="5">
        <v>1.7801312E7</v>
      </c>
      <c r="D4" s="5">
        <v>6.2046579E7</v>
      </c>
      <c r="E4" s="4">
        <v>46.52762709117703</v>
      </c>
      <c r="F4" s="5">
        <v>5.3072131E7</v>
      </c>
      <c r="G4" s="5">
        <v>1.14065845E8</v>
      </c>
      <c r="H4" s="4">
        <v>16.05807653297955</v>
      </c>
      <c r="I4" s="5">
        <v>1.645257E7</v>
      </c>
      <c r="J4" s="5">
        <v>1.02456667E8</v>
      </c>
    </row>
    <row r="5">
      <c r="A5" s="1">
        <v>2020.0</v>
      </c>
      <c r="B5" s="4">
        <f t="shared" si="1"/>
        <v>35.17503391</v>
      </c>
      <c r="C5" s="5">
        <v>2.3984284E7</v>
      </c>
      <c r="D5" s="5">
        <v>6.8185532E7</v>
      </c>
      <c r="E5" s="4">
        <v>49.355667564316846</v>
      </c>
      <c r="F5" s="5">
        <v>5.4614433E7</v>
      </c>
      <c r="G5" s="5">
        <v>1.10654836E8</v>
      </c>
      <c r="H5" s="4">
        <v>17.811376197391716</v>
      </c>
      <c r="I5" s="5">
        <v>1.8744952E7</v>
      </c>
      <c r="J5" s="5">
        <v>1.05241458E8</v>
      </c>
    </row>
    <row r="6">
      <c r="A6" s="1">
        <v>2021.0</v>
      </c>
      <c r="B6" s="4">
        <f t="shared" si="1"/>
        <v>41.60668437</v>
      </c>
      <c r="C6" s="5">
        <v>2.8992002E7</v>
      </c>
      <c r="D6" s="5">
        <v>6.9681116E7</v>
      </c>
      <c r="E6" s="4">
        <v>64.02952509224211</v>
      </c>
      <c r="F6" s="5">
        <v>9.0803884E7</v>
      </c>
      <c r="G6" s="5">
        <v>1.41815645E8</v>
      </c>
      <c r="H6" s="4">
        <v>21.28109223298881</v>
      </c>
      <c r="I6" s="5">
        <v>2.1257131E7</v>
      </c>
      <c r="J6" s="5">
        <v>9.9887406E7</v>
      </c>
    </row>
    <row r="7">
      <c r="A7" s="1">
        <v>2022.0</v>
      </c>
      <c r="B7" s="4">
        <f t="shared" si="1"/>
        <v>41.32105626</v>
      </c>
      <c r="C7" s="5">
        <v>2.8713314E7</v>
      </c>
      <c r="D7" s="5">
        <v>6.9488335E7</v>
      </c>
      <c r="E7" s="4">
        <v>67.38014782678951</v>
      </c>
      <c r="F7" s="5">
        <v>1.21161645E8</v>
      </c>
      <c r="G7" s="5">
        <v>1.79818016E8</v>
      </c>
      <c r="H7" s="4">
        <v>38.93396403980792</v>
      </c>
      <c r="I7" s="5">
        <v>5.2654657E7</v>
      </c>
      <c r="J7" s="5">
        <v>1.35240935E8</v>
      </c>
    </row>
    <row r="8">
      <c r="A8" s="1">
        <v>2023.0</v>
      </c>
      <c r="B8" s="4">
        <f t="shared" si="1"/>
        <v>58.82728207</v>
      </c>
      <c r="C8" s="5">
        <v>8.4041657E7</v>
      </c>
      <c r="D8" s="5">
        <v>1.42861703E8</v>
      </c>
      <c r="E8" s="4">
        <v>72.32363596848585</v>
      </c>
      <c r="F8" s="5">
        <v>1.28053091E8</v>
      </c>
      <c r="G8" s="5">
        <v>1.7705566E8</v>
      </c>
      <c r="H8" s="4">
        <v>55.253173539630886</v>
      </c>
      <c r="I8" s="5">
        <v>1.07036692E8</v>
      </c>
      <c r="J8" s="5">
        <v>1.93720442E8</v>
      </c>
    </row>
    <row r="9">
      <c r="A9" s="1"/>
      <c r="C9" s="5"/>
      <c r="D9" s="5"/>
      <c r="H9" s="6"/>
      <c r="I9" s="6"/>
    </row>
    <row r="10" hidden="1">
      <c r="A10" s="1">
        <v>2019.0</v>
      </c>
      <c r="B10" s="4">
        <v>46.52762709117703</v>
      </c>
      <c r="C10" s="5">
        <v>5.3072131E7</v>
      </c>
      <c r="D10" s="5">
        <v>1.14065845E8</v>
      </c>
      <c r="H10" s="6"/>
      <c r="I10" s="6"/>
    </row>
    <row r="11" hidden="1">
      <c r="A11" s="1">
        <v>2020.0</v>
      </c>
      <c r="B11" s="4">
        <v>49.355667564316846</v>
      </c>
      <c r="C11" s="5">
        <v>5.4614433E7</v>
      </c>
      <c r="D11" s="5">
        <v>1.10654836E8</v>
      </c>
      <c r="H11" s="6"/>
      <c r="I11" s="6"/>
    </row>
    <row r="12" hidden="1">
      <c r="A12" s="1">
        <v>2021.0</v>
      </c>
      <c r="B12" s="4">
        <v>64.02952509224211</v>
      </c>
      <c r="C12" s="5">
        <v>9.0803884E7</v>
      </c>
      <c r="D12" s="5">
        <v>1.41815645E8</v>
      </c>
      <c r="H12" s="6"/>
      <c r="I12" s="6"/>
    </row>
    <row r="13" hidden="1">
      <c r="A13" s="1">
        <v>2022.0</v>
      </c>
      <c r="B13" s="4">
        <v>67.38014782678951</v>
      </c>
      <c r="C13" s="5">
        <v>1.21161645E8</v>
      </c>
      <c r="D13" s="5">
        <v>1.79818016E8</v>
      </c>
      <c r="H13" s="6"/>
      <c r="I13" s="6"/>
    </row>
    <row r="14" hidden="1">
      <c r="A14" s="1">
        <v>2023.0</v>
      </c>
      <c r="B14" s="4">
        <v>72.32363596848585</v>
      </c>
      <c r="C14" s="5">
        <v>1.28053091E8</v>
      </c>
      <c r="D14" s="5">
        <v>1.7705566E8</v>
      </c>
      <c r="H14" s="6"/>
      <c r="I14" s="6"/>
    </row>
    <row r="15" hidden="1">
      <c r="A15" s="1"/>
      <c r="C15" s="5"/>
      <c r="D15" s="5"/>
      <c r="H15" s="6"/>
      <c r="I15" s="6"/>
    </row>
    <row r="16" hidden="1">
      <c r="A16" s="1">
        <v>2019.0</v>
      </c>
      <c r="B16" s="4">
        <v>16.05807653297955</v>
      </c>
      <c r="C16" s="5">
        <v>1.645257E7</v>
      </c>
      <c r="D16" s="5">
        <v>1.02456667E8</v>
      </c>
      <c r="H16" s="6"/>
      <c r="I16" s="6"/>
    </row>
    <row r="17" hidden="1">
      <c r="A17" s="1">
        <v>2020.0</v>
      </c>
      <c r="B17" s="4">
        <v>17.811376197391716</v>
      </c>
      <c r="C17" s="5">
        <v>1.8744952E7</v>
      </c>
      <c r="D17" s="5">
        <v>1.05241458E8</v>
      </c>
      <c r="H17" s="6"/>
      <c r="I17" s="6"/>
    </row>
    <row r="18" hidden="1">
      <c r="A18" s="1">
        <v>2021.0</v>
      </c>
      <c r="B18" s="4">
        <v>21.28109223298881</v>
      </c>
      <c r="C18" s="5">
        <v>2.1257131E7</v>
      </c>
      <c r="D18" s="5">
        <v>9.9887406E7</v>
      </c>
      <c r="H18" s="6"/>
      <c r="I18" s="6"/>
    </row>
    <row r="19" hidden="1">
      <c r="A19" s="1">
        <v>2022.0</v>
      </c>
      <c r="B19" s="4">
        <v>38.93396403980792</v>
      </c>
      <c r="C19" s="5">
        <v>5.2654657E7</v>
      </c>
      <c r="D19" s="5">
        <v>1.35240935E8</v>
      </c>
      <c r="H19" s="6"/>
      <c r="I19" s="6"/>
    </row>
    <row r="20" hidden="1">
      <c r="A20" s="1">
        <v>2023.0</v>
      </c>
      <c r="B20" s="4">
        <v>55.253173539630886</v>
      </c>
      <c r="C20" s="5">
        <v>1.07036692E8</v>
      </c>
      <c r="D20" s="5">
        <v>1.93720442E8</v>
      </c>
      <c r="H20" s="6"/>
      <c r="I20" s="6"/>
    </row>
    <row r="25">
      <c r="A25" s="1"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20.13"/>
    <col customWidth="1" min="3" max="5" width="28.38"/>
    <col customWidth="1" min="6" max="6" width="23.0"/>
    <col customWidth="1" min="7" max="9" width="22.0"/>
    <col customWidth="1" min="10" max="10" width="27.63"/>
    <col customWidth="1" min="13" max="13" width="21.63"/>
    <col customWidth="1" min="14" max="14" width="27.25"/>
    <col customWidth="1" min="15" max="15" width="36.63"/>
  </cols>
  <sheetData>
    <row r="1">
      <c r="A1" s="7"/>
      <c r="B1" s="8" t="s">
        <v>7</v>
      </c>
      <c r="C1" s="8" t="s">
        <v>8</v>
      </c>
      <c r="D1" s="8" t="s">
        <v>9</v>
      </c>
      <c r="E1" s="8" t="s">
        <v>10</v>
      </c>
      <c r="F1" s="8" t="s">
        <v>11</v>
      </c>
      <c r="G1" s="8" t="s">
        <v>12</v>
      </c>
      <c r="H1" s="8" t="s">
        <v>13</v>
      </c>
      <c r="I1" s="8" t="s">
        <v>14</v>
      </c>
      <c r="J1" s="8" t="s">
        <v>15</v>
      </c>
      <c r="K1" s="9" t="s">
        <v>16</v>
      </c>
      <c r="L1" s="10">
        <v>2023.0</v>
      </c>
      <c r="M1" s="11" t="s">
        <v>17</v>
      </c>
      <c r="N1" s="12" t="s">
        <v>18</v>
      </c>
      <c r="O1" s="12" t="s">
        <v>19</v>
      </c>
      <c r="P1" s="13"/>
      <c r="Q1" s="13"/>
      <c r="R1" s="13"/>
      <c r="S1" s="13"/>
      <c r="T1" s="13"/>
      <c r="U1" s="13"/>
      <c r="V1" s="13"/>
      <c r="W1" s="13"/>
      <c r="X1" s="13"/>
      <c r="Y1" s="13"/>
      <c r="Z1" s="13"/>
    </row>
    <row r="2">
      <c r="A2" s="14" t="s">
        <v>20</v>
      </c>
      <c r="B2" s="15">
        <v>693.0</v>
      </c>
      <c r="C2" s="15">
        <v>112.0</v>
      </c>
      <c r="D2" s="15">
        <v>997.0</v>
      </c>
      <c r="E2" s="15">
        <v>1684.0</v>
      </c>
      <c r="F2" s="15">
        <v>2042.0</v>
      </c>
      <c r="G2" s="15">
        <v>2691.0</v>
      </c>
      <c r="H2" s="15">
        <v>2730.0</v>
      </c>
      <c r="I2" s="15">
        <v>3405.0</v>
      </c>
      <c r="J2" s="15">
        <v>4185.0</v>
      </c>
      <c r="K2" s="15">
        <v>4110.0</v>
      </c>
      <c r="L2" s="15"/>
      <c r="M2" s="16"/>
      <c r="N2" s="16">
        <f>3612/4110*100</f>
        <v>87.88321168</v>
      </c>
      <c r="O2" s="16"/>
      <c r="P2" s="16"/>
      <c r="Q2" s="16"/>
      <c r="R2" s="16"/>
      <c r="S2" s="16"/>
      <c r="T2" s="16"/>
      <c r="U2" s="16"/>
      <c r="V2" s="16"/>
      <c r="W2" s="16"/>
      <c r="X2" s="16"/>
      <c r="Y2" s="16"/>
      <c r="Z2" s="16"/>
      <c r="AA2" s="17"/>
      <c r="AB2" s="17"/>
      <c r="AC2" s="17"/>
      <c r="AD2" s="17"/>
      <c r="AE2" s="17"/>
    </row>
    <row r="3">
      <c r="A3" s="18" t="s">
        <v>21</v>
      </c>
      <c r="B3" s="19">
        <v>4659.0</v>
      </c>
      <c r="C3" s="19">
        <v>5032.0</v>
      </c>
      <c r="D3" s="19">
        <v>5091.0</v>
      </c>
      <c r="E3" s="19">
        <v>5562.0</v>
      </c>
      <c r="F3" s="19">
        <v>5833.0</v>
      </c>
      <c r="G3" s="19">
        <v>6460.0</v>
      </c>
      <c r="H3" s="19">
        <v>6223.0</v>
      </c>
      <c r="I3" s="19">
        <v>6612.0</v>
      </c>
      <c r="J3" s="19">
        <v>7347.0</v>
      </c>
      <c r="K3" s="20">
        <v>7282.0</v>
      </c>
      <c r="L3" s="21"/>
      <c r="M3" s="13">
        <f>K2/K3*100</f>
        <v>56.44053831</v>
      </c>
      <c r="N3" s="13"/>
      <c r="O3" s="13"/>
      <c r="P3" s="13"/>
      <c r="Q3" s="13"/>
      <c r="R3" s="13"/>
      <c r="S3" s="13"/>
      <c r="T3" s="13"/>
      <c r="U3" s="13"/>
      <c r="V3" s="13"/>
      <c r="W3" s="13"/>
      <c r="X3" s="13"/>
      <c r="Y3" s="13"/>
      <c r="Z3" s="13"/>
    </row>
    <row r="4">
      <c r="A4" s="18"/>
      <c r="B4" s="21">
        <f t="shared" ref="B4:K4" si="1">B2/B3*100</f>
        <v>14.87443657</v>
      </c>
      <c r="C4" s="21">
        <f t="shared" si="1"/>
        <v>2.225755167</v>
      </c>
      <c r="D4" s="21">
        <f t="shared" si="1"/>
        <v>19.58357886</v>
      </c>
      <c r="E4" s="21">
        <f t="shared" si="1"/>
        <v>30.27687882</v>
      </c>
      <c r="F4" s="21">
        <f t="shared" si="1"/>
        <v>35.00771473</v>
      </c>
      <c r="G4" s="21">
        <f t="shared" si="1"/>
        <v>41.65634675</v>
      </c>
      <c r="H4" s="21">
        <f t="shared" si="1"/>
        <v>43.86951631</v>
      </c>
      <c r="I4" s="21">
        <f t="shared" si="1"/>
        <v>51.49727768</v>
      </c>
      <c r="J4" s="21">
        <f t="shared" si="1"/>
        <v>56.96202532</v>
      </c>
      <c r="K4" s="21">
        <f t="shared" si="1"/>
        <v>56.44053831</v>
      </c>
      <c r="L4" s="21"/>
      <c r="M4" s="13"/>
      <c r="N4" s="13"/>
      <c r="O4" s="13"/>
      <c r="P4" s="13"/>
      <c r="Q4" s="13"/>
      <c r="R4" s="13"/>
      <c r="S4" s="13"/>
      <c r="T4" s="13"/>
      <c r="U4" s="13"/>
      <c r="V4" s="13"/>
      <c r="W4" s="13"/>
      <c r="X4" s="13"/>
      <c r="Y4" s="13"/>
      <c r="Z4" s="13"/>
    </row>
    <row r="5">
      <c r="A5" s="14" t="s">
        <v>20</v>
      </c>
      <c r="B5" s="15">
        <v>106.0</v>
      </c>
      <c r="C5" s="15">
        <v>139.0</v>
      </c>
      <c r="D5" s="15">
        <v>128.0</v>
      </c>
      <c r="E5" s="15">
        <v>117.0</v>
      </c>
      <c r="F5" s="15">
        <v>108.0</v>
      </c>
      <c r="G5" s="15">
        <v>251.0</v>
      </c>
      <c r="H5" s="15">
        <v>496.0</v>
      </c>
      <c r="I5" s="15">
        <v>447.0</v>
      </c>
      <c r="J5" s="15">
        <v>5113.0</v>
      </c>
      <c r="K5" s="15">
        <v>5823.0</v>
      </c>
      <c r="L5" s="15"/>
      <c r="M5" s="16"/>
      <c r="N5" s="16">
        <f>5511/5823*100</f>
        <v>94.64193715</v>
      </c>
      <c r="O5" s="16">
        <f>5825</f>
        <v>5825</v>
      </c>
      <c r="P5" s="16"/>
      <c r="Q5" s="16"/>
      <c r="R5" s="16"/>
      <c r="S5" s="16"/>
      <c r="T5" s="16"/>
      <c r="U5" s="16"/>
      <c r="V5" s="16"/>
      <c r="W5" s="16"/>
      <c r="X5" s="16"/>
      <c r="Y5" s="16"/>
      <c r="Z5" s="16"/>
      <c r="AA5" s="17"/>
      <c r="AB5" s="17"/>
      <c r="AC5" s="17"/>
      <c r="AD5" s="17"/>
      <c r="AE5" s="17"/>
    </row>
    <row r="6">
      <c r="A6" s="18" t="s">
        <v>22</v>
      </c>
      <c r="B6" s="19">
        <v>2552.0</v>
      </c>
      <c r="C6" s="19">
        <v>2605.0</v>
      </c>
      <c r="D6" s="19">
        <v>2665.0</v>
      </c>
      <c r="E6" s="19">
        <v>2735.0</v>
      </c>
      <c r="F6" s="19">
        <v>3844.0</v>
      </c>
      <c r="G6" s="19">
        <v>4665.0</v>
      </c>
      <c r="H6" s="19">
        <v>4892.0</v>
      </c>
      <c r="I6" s="19">
        <v>4976.0</v>
      </c>
      <c r="J6" s="19">
        <v>7549.0</v>
      </c>
      <c r="K6" s="20">
        <v>8087.0</v>
      </c>
      <c r="L6" s="21"/>
      <c r="M6" s="13">
        <f>K5/K6*100</f>
        <v>72.00445159</v>
      </c>
      <c r="N6" s="13"/>
      <c r="O6" s="13">
        <f>5825/(2057+300+5858)*100</f>
        <v>70.90687766</v>
      </c>
      <c r="P6" s="13"/>
      <c r="Q6" s="13"/>
      <c r="R6" s="13"/>
      <c r="S6" s="13"/>
      <c r="T6" s="13"/>
      <c r="U6" s="13"/>
      <c r="V6" s="13"/>
      <c r="W6" s="13"/>
      <c r="X6" s="13"/>
      <c r="Y6" s="13"/>
      <c r="Z6" s="13"/>
    </row>
    <row r="7">
      <c r="A7" s="18"/>
      <c r="B7" s="21">
        <f t="shared" ref="B7:K7" si="2">B5/B6*100</f>
        <v>4.153605016</v>
      </c>
      <c r="C7" s="21">
        <f t="shared" si="2"/>
        <v>5.335892514</v>
      </c>
      <c r="D7" s="21">
        <f t="shared" si="2"/>
        <v>4.803001876</v>
      </c>
      <c r="E7" s="21">
        <f t="shared" si="2"/>
        <v>4.277879342</v>
      </c>
      <c r="F7" s="21">
        <f t="shared" si="2"/>
        <v>2.809573361</v>
      </c>
      <c r="G7" s="21">
        <f t="shared" si="2"/>
        <v>5.380493033</v>
      </c>
      <c r="H7" s="21">
        <f t="shared" si="2"/>
        <v>10.13900245</v>
      </c>
      <c r="I7" s="21">
        <f t="shared" si="2"/>
        <v>8.983118971</v>
      </c>
      <c r="J7" s="21">
        <f t="shared" si="2"/>
        <v>67.73082527</v>
      </c>
      <c r="K7" s="21">
        <f t="shared" si="2"/>
        <v>72.00445159</v>
      </c>
      <c r="L7" s="21"/>
      <c r="M7" s="13"/>
      <c r="N7" s="13"/>
      <c r="O7" s="13"/>
      <c r="P7" s="13"/>
      <c r="Q7" s="13"/>
      <c r="R7" s="13"/>
      <c r="S7" s="13"/>
      <c r="T7" s="13"/>
      <c r="U7" s="13"/>
      <c r="V7" s="13"/>
      <c r="W7" s="13"/>
      <c r="X7" s="13"/>
      <c r="Y7" s="13"/>
      <c r="Z7" s="13"/>
    </row>
    <row r="8">
      <c r="A8" s="14" t="s">
        <v>20</v>
      </c>
      <c r="B8" s="15" t="s">
        <v>23</v>
      </c>
      <c r="C8" s="15" t="s">
        <v>23</v>
      </c>
      <c r="D8" s="15" t="s">
        <v>23</v>
      </c>
      <c r="E8" s="15">
        <v>23.0</v>
      </c>
      <c r="F8" s="15">
        <v>34.0</v>
      </c>
      <c r="G8" s="15">
        <v>67.0</v>
      </c>
      <c r="H8" s="15">
        <v>479.0</v>
      </c>
      <c r="I8" s="15">
        <v>650.0</v>
      </c>
      <c r="J8" s="15">
        <v>4564.0</v>
      </c>
      <c r="K8" s="15">
        <v>3378.0</v>
      </c>
      <c r="L8" s="22">
        <v>4569.0</v>
      </c>
      <c r="M8" s="16">
        <f>L8/L9*100</f>
        <v>71.61442006</v>
      </c>
      <c r="N8" s="16">
        <f>3353/3378*100</f>
        <v>99.25991711</v>
      </c>
      <c r="O8" s="16"/>
      <c r="P8" s="16"/>
      <c r="Q8" s="16"/>
      <c r="R8" s="16"/>
      <c r="S8" s="16"/>
      <c r="T8" s="16"/>
      <c r="U8" s="16"/>
      <c r="V8" s="16"/>
      <c r="W8" s="16"/>
      <c r="X8" s="16"/>
      <c r="Y8" s="16"/>
      <c r="Z8" s="16"/>
      <c r="AA8" s="17"/>
      <c r="AB8" s="17"/>
      <c r="AC8" s="17"/>
      <c r="AD8" s="17"/>
      <c r="AE8" s="17"/>
    </row>
    <row r="9">
      <c r="A9" s="18" t="s">
        <v>24</v>
      </c>
      <c r="B9" s="19">
        <v>1305.0</v>
      </c>
      <c r="C9" s="19">
        <v>1307.0</v>
      </c>
      <c r="D9" s="19">
        <v>1243.0</v>
      </c>
      <c r="E9" s="19">
        <v>1227.0</v>
      </c>
      <c r="F9" s="19">
        <v>1111.0</v>
      </c>
      <c r="G9" s="19">
        <v>1155.0</v>
      </c>
      <c r="H9" s="19">
        <v>1406.0</v>
      </c>
      <c r="I9" s="19">
        <v>1534.0</v>
      </c>
      <c r="J9" s="19">
        <v>5450.0</v>
      </c>
      <c r="K9" s="20">
        <v>4234.0</v>
      </c>
      <c r="L9" s="23">
        <v>6380.0</v>
      </c>
      <c r="M9" s="13">
        <f>K8/K9*100</f>
        <v>79.78271138</v>
      </c>
      <c r="N9" s="13"/>
      <c r="O9" s="13"/>
      <c r="P9" s="13"/>
      <c r="Q9" s="13"/>
      <c r="R9" s="13"/>
      <c r="S9" s="13"/>
      <c r="T9" s="13"/>
      <c r="U9" s="13"/>
      <c r="V9" s="13"/>
      <c r="W9" s="13"/>
      <c r="X9" s="13"/>
      <c r="Y9" s="13"/>
      <c r="Z9" s="13"/>
    </row>
    <row r="10">
      <c r="A10" s="18"/>
      <c r="B10" s="23">
        <v>0.0</v>
      </c>
      <c r="C10" s="21">
        <f>0</f>
        <v>0</v>
      </c>
      <c r="D10" s="23">
        <v>0.0</v>
      </c>
      <c r="E10" s="21">
        <f t="shared" ref="E10:K10" si="3">E8/E9*100</f>
        <v>1.874490628</v>
      </c>
      <c r="F10" s="21">
        <f t="shared" si="3"/>
        <v>3.060306031</v>
      </c>
      <c r="G10" s="21">
        <f t="shared" si="3"/>
        <v>5.800865801</v>
      </c>
      <c r="H10" s="21">
        <f t="shared" si="3"/>
        <v>34.06827881</v>
      </c>
      <c r="I10" s="21">
        <f t="shared" si="3"/>
        <v>42.37288136</v>
      </c>
      <c r="J10" s="21">
        <f t="shared" si="3"/>
        <v>83.74311927</v>
      </c>
      <c r="K10" s="21">
        <f t="shared" si="3"/>
        <v>79.78271138</v>
      </c>
      <c r="L10" s="21"/>
      <c r="M10" s="13"/>
      <c r="N10" s="13"/>
      <c r="O10" s="13"/>
      <c r="P10" s="13"/>
      <c r="Q10" s="13"/>
      <c r="R10" s="13"/>
      <c r="S10" s="13"/>
      <c r="T10" s="13"/>
      <c r="U10" s="13"/>
      <c r="V10" s="13"/>
      <c r="W10" s="13"/>
      <c r="X10" s="13"/>
      <c r="Y10" s="13"/>
      <c r="Z10" s="13"/>
    </row>
    <row r="11">
      <c r="A11" s="14" t="s">
        <v>20</v>
      </c>
      <c r="B11" s="15" t="s">
        <v>23</v>
      </c>
      <c r="C11" s="15">
        <v>12.0</v>
      </c>
      <c r="D11" s="15">
        <v>51.0</v>
      </c>
      <c r="E11" s="15">
        <v>61.0</v>
      </c>
      <c r="F11" s="15">
        <v>101.0</v>
      </c>
      <c r="G11" s="15">
        <v>139.0</v>
      </c>
      <c r="H11" s="15">
        <v>309.0</v>
      </c>
      <c r="I11" s="15">
        <v>930.0</v>
      </c>
      <c r="J11" s="15">
        <v>1124.0</v>
      </c>
      <c r="K11" s="15">
        <v>2086.0</v>
      </c>
      <c r="L11" s="15"/>
      <c r="M11" s="16"/>
      <c r="N11" s="16">
        <f>1671/2086*100</f>
        <v>80.105465</v>
      </c>
      <c r="O11" s="24">
        <v>2821.0</v>
      </c>
      <c r="P11" s="16"/>
      <c r="Q11" s="16"/>
      <c r="R11" s="16"/>
      <c r="S11" s="16"/>
      <c r="T11" s="16"/>
      <c r="U11" s="16"/>
      <c r="V11" s="16"/>
      <c r="W11" s="16"/>
      <c r="X11" s="16"/>
      <c r="Y11" s="16"/>
      <c r="Z11" s="16"/>
      <c r="AA11" s="17"/>
      <c r="AB11" s="17"/>
      <c r="AC11" s="17"/>
      <c r="AD11" s="17"/>
      <c r="AE11" s="17"/>
    </row>
    <row r="12">
      <c r="A12" s="18" t="s">
        <v>25</v>
      </c>
      <c r="B12" s="19">
        <v>2350.0</v>
      </c>
      <c r="C12" s="19">
        <v>2462.0</v>
      </c>
      <c r="D12" s="19">
        <v>2351.0</v>
      </c>
      <c r="E12" s="19">
        <v>2316.0</v>
      </c>
      <c r="F12" s="19">
        <v>2192.0</v>
      </c>
      <c r="G12" s="19">
        <v>2202.0</v>
      </c>
      <c r="H12" s="19">
        <v>2325.0</v>
      </c>
      <c r="I12" s="19">
        <v>2724.0</v>
      </c>
      <c r="J12" s="19">
        <v>2554.0</v>
      </c>
      <c r="K12" s="20">
        <v>3435.0</v>
      </c>
      <c r="L12" s="21"/>
      <c r="M12" s="13">
        <f>K11/K12*100</f>
        <v>60.72780204</v>
      </c>
      <c r="N12" s="13"/>
      <c r="O12" s="12">
        <v>4395.0</v>
      </c>
      <c r="P12" s="13">
        <f>O11/O12*100</f>
        <v>64.18657565</v>
      </c>
      <c r="Q12" s="13"/>
      <c r="R12" s="13"/>
      <c r="S12" s="13"/>
      <c r="T12" s="13"/>
      <c r="U12" s="13"/>
      <c r="V12" s="13"/>
      <c r="W12" s="13"/>
      <c r="X12" s="13"/>
      <c r="Y12" s="13"/>
      <c r="Z12" s="13"/>
    </row>
    <row r="13">
      <c r="A13" s="13"/>
      <c r="B13" s="12">
        <v>0.0</v>
      </c>
      <c r="C13" s="13">
        <f t="shared" ref="C13:K13" si="4">C11/C12*100</f>
        <v>0.4874086109</v>
      </c>
      <c r="D13" s="13">
        <f t="shared" si="4"/>
        <v>2.169289664</v>
      </c>
      <c r="E13" s="13">
        <f t="shared" si="4"/>
        <v>2.633851468</v>
      </c>
      <c r="F13" s="13">
        <f t="shared" si="4"/>
        <v>4.607664234</v>
      </c>
      <c r="G13" s="13">
        <f t="shared" si="4"/>
        <v>6.312443233</v>
      </c>
      <c r="H13" s="13">
        <f t="shared" si="4"/>
        <v>13.29032258</v>
      </c>
      <c r="I13" s="13">
        <f t="shared" si="4"/>
        <v>34.14096916</v>
      </c>
      <c r="J13" s="13">
        <f t="shared" si="4"/>
        <v>44.00939702</v>
      </c>
      <c r="K13" s="13">
        <f t="shared" si="4"/>
        <v>60.72780204</v>
      </c>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f>5511/(8087-364-1861)*100</f>
        <v>94.0122825</v>
      </c>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f>4569+1811</f>
        <v>6380</v>
      </c>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4" max="4" width="24.75"/>
  </cols>
  <sheetData>
    <row r="1">
      <c r="B1" s="1" t="s">
        <v>2</v>
      </c>
      <c r="C1" s="1" t="s">
        <v>3</v>
      </c>
      <c r="D1" s="1" t="s">
        <v>26</v>
      </c>
    </row>
    <row r="2">
      <c r="A2" s="1">
        <v>2019.0</v>
      </c>
      <c r="B2" s="5">
        <v>1.7801312E7</v>
      </c>
      <c r="C2" s="5">
        <v>6.2046579E7</v>
      </c>
      <c r="D2" s="4">
        <f t="shared" ref="D2:D6" si="1">B2/C2*100</f>
        <v>28.69023931</v>
      </c>
    </row>
    <row r="3">
      <c r="A3" s="1">
        <v>2020.0</v>
      </c>
      <c r="B3" s="5">
        <v>2.3984284E7</v>
      </c>
      <c r="C3" s="5">
        <v>6.8185532E7</v>
      </c>
      <c r="D3" s="4">
        <f t="shared" si="1"/>
        <v>35.17503391</v>
      </c>
    </row>
    <row r="4">
      <c r="A4" s="1">
        <v>2021.0</v>
      </c>
      <c r="B4" s="5">
        <v>2.8992002E7</v>
      </c>
      <c r="C4" s="5">
        <v>6.9681116E7</v>
      </c>
      <c r="D4" s="4">
        <f t="shared" si="1"/>
        <v>41.60668437</v>
      </c>
    </row>
    <row r="5">
      <c r="A5" s="1">
        <v>2022.0</v>
      </c>
      <c r="B5" s="5">
        <v>2.8713314E7</v>
      </c>
      <c r="C5" s="5">
        <v>6.9488335E7</v>
      </c>
      <c r="D5" s="4">
        <f t="shared" si="1"/>
        <v>41.32105626</v>
      </c>
    </row>
    <row r="6">
      <c r="A6" s="1">
        <v>2023.0</v>
      </c>
      <c r="B6" s="5">
        <v>8.4041657E7</v>
      </c>
      <c r="C6" s="5">
        <v>1.42861703E8</v>
      </c>
      <c r="D6" s="4">
        <f t="shared" si="1"/>
        <v>58.82728207</v>
      </c>
    </row>
    <row r="9">
      <c r="A9" s="1" t="s">
        <v>27</v>
      </c>
    </row>
    <row r="10">
      <c r="A10" s="1" t="s">
        <v>28</v>
      </c>
    </row>
    <row r="16">
      <c r="A16" s="1" t="s">
        <v>29</v>
      </c>
      <c r="B16" s="1" t="s">
        <v>30</v>
      </c>
    </row>
    <row r="17">
      <c r="A17" s="5" t="s">
        <v>31</v>
      </c>
      <c r="B17" s="1">
        <v>833.0</v>
      </c>
      <c r="C17" s="25">
        <v>15.0</v>
      </c>
    </row>
    <row r="18">
      <c r="A18" s="1" t="s">
        <v>32</v>
      </c>
      <c r="B18" s="1">
        <v>3353.0</v>
      </c>
    </row>
    <row r="19">
      <c r="A19" s="1" t="s">
        <v>33</v>
      </c>
      <c r="B19" s="1">
        <v>15.0</v>
      </c>
    </row>
    <row r="20">
      <c r="A20" s="1" t="s">
        <v>34</v>
      </c>
      <c r="B20" s="1">
        <v>33.0</v>
      </c>
    </row>
    <row r="21">
      <c r="A21" s="1" t="s">
        <v>35</v>
      </c>
      <c r="B21" s="4">
        <f>SUM(B17:B20)</f>
        <v>4234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23.63"/>
    <col customWidth="1" min="4" max="4" width="35.25"/>
  </cols>
  <sheetData>
    <row r="1">
      <c r="B1" s="1" t="s">
        <v>2</v>
      </c>
      <c r="C1" s="1" t="s">
        <v>3</v>
      </c>
      <c r="D1" s="1" t="s">
        <v>26</v>
      </c>
    </row>
    <row r="2">
      <c r="A2" s="1">
        <v>2019.0</v>
      </c>
      <c r="B2" s="5">
        <v>5.3072131E7</v>
      </c>
      <c r="C2" s="5">
        <v>1.14065845E8</v>
      </c>
      <c r="D2" s="4">
        <f t="shared" ref="D2:D7" si="1">B2/C2*100</f>
        <v>46.52762709</v>
      </c>
    </row>
    <row r="3">
      <c r="A3" s="1">
        <v>2020.0</v>
      </c>
      <c r="B3" s="5">
        <v>5.4614433E7</v>
      </c>
      <c r="C3" s="5">
        <v>1.10654836E8</v>
      </c>
      <c r="D3" s="4">
        <f t="shared" si="1"/>
        <v>49.35566756</v>
      </c>
    </row>
    <row r="4">
      <c r="A4" s="1">
        <v>2021.0</v>
      </c>
      <c r="B4" s="5">
        <v>9.0803884E7</v>
      </c>
      <c r="C4" s="5">
        <v>1.41815645E8</v>
      </c>
      <c r="D4" s="4">
        <f t="shared" si="1"/>
        <v>64.02952509</v>
      </c>
    </row>
    <row r="5">
      <c r="A5" s="1">
        <v>2022.0</v>
      </c>
      <c r="B5" s="5">
        <v>1.21161645E8</v>
      </c>
      <c r="C5" s="5">
        <v>1.79818016E8</v>
      </c>
      <c r="D5" s="4">
        <f t="shared" si="1"/>
        <v>67.38014783</v>
      </c>
    </row>
    <row r="6">
      <c r="A6" s="1">
        <v>2023.0</v>
      </c>
      <c r="B6" s="5">
        <v>1.28053091E8</v>
      </c>
      <c r="C6" s="5">
        <v>1.7705566E8</v>
      </c>
      <c r="D6" s="4">
        <f t="shared" si="1"/>
        <v>72.32363597</v>
      </c>
    </row>
    <row r="7">
      <c r="A7" s="1" t="s">
        <v>36</v>
      </c>
      <c r="B7" s="5">
        <v>1.37718514E8</v>
      </c>
      <c r="C7" s="5">
        <v>1.94837457E8</v>
      </c>
      <c r="D7" s="4">
        <f t="shared" si="1"/>
        <v>70.68379773</v>
      </c>
    </row>
    <row r="9">
      <c r="A9" s="1" t="s">
        <v>37</v>
      </c>
    </row>
    <row r="10">
      <c r="A10" s="1" t="s">
        <v>38</v>
      </c>
    </row>
    <row r="11">
      <c r="A11" s="1" t="s">
        <v>39</v>
      </c>
    </row>
    <row r="12">
      <c r="A12" s="1" t="s">
        <v>40</v>
      </c>
    </row>
    <row r="15">
      <c r="D15" s="4">
        <f>(14686595/88083173)*100</f>
        <v>16.67355353</v>
      </c>
    </row>
    <row r="16">
      <c r="D16" s="4">
        <f>(18392228/86256748)*100</f>
        <v>21.32265408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2</v>
      </c>
      <c r="C1" s="1" t="s">
        <v>3</v>
      </c>
      <c r="D1" s="1" t="s">
        <v>26</v>
      </c>
    </row>
    <row r="2">
      <c r="A2" s="1">
        <v>2019.0</v>
      </c>
      <c r="B2" s="5">
        <v>1.645257E7</v>
      </c>
      <c r="C2" s="5">
        <v>1.02456667E8</v>
      </c>
      <c r="D2" s="4">
        <f t="shared" ref="D2:D6" si="1">B2/C2*100</f>
        <v>16.05807653</v>
      </c>
    </row>
    <row r="3">
      <c r="A3" s="1">
        <v>2020.0</v>
      </c>
      <c r="B3" s="5">
        <v>1.8744952E7</v>
      </c>
      <c r="C3" s="5">
        <v>1.05241458E8</v>
      </c>
      <c r="D3" s="4">
        <f t="shared" si="1"/>
        <v>17.8113762</v>
      </c>
    </row>
    <row r="4">
      <c r="A4" s="1">
        <v>2021.0</v>
      </c>
      <c r="B4" s="5">
        <v>2.1257131E7</v>
      </c>
      <c r="C4" s="5">
        <v>9.9887406E7</v>
      </c>
      <c r="D4" s="4">
        <f t="shared" si="1"/>
        <v>21.28109223</v>
      </c>
    </row>
    <row r="5">
      <c r="A5" s="1">
        <v>2022.0</v>
      </c>
      <c r="B5" s="5">
        <v>5.2654657E7</v>
      </c>
      <c r="C5" s="5">
        <v>1.35240935E8</v>
      </c>
      <c r="D5" s="4">
        <f t="shared" si="1"/>
        <v>38.93396404</v>
      </c>
    </row>
    <row r="6">
      <c r="A6" s="1">
        <v>2023.0</v>
      </c>
      <c r="B6" s="5">
        <v>1.07036692E8</v>
      </c>
      <c r="C6" s="5">
        <v>1.93720442E8</v>
      </c>
      <c r="D6" s="4">
        <f t="shared" si="1"/>
        <v>55.25317354</v>
      </c>
    </row>
    <row r="7">
      <c r="B7" s="5"/>
      <c r="C7" s="5"/>
    </row>
    <row r="12">
      <c r="A12" s="1" t="s">
        <v>41</v>
      </c>
    </row>
  </sheetData>
  <drawing r:id="rId1"/>
</worksheet>
</file>